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6D6A6A39-AD1F-41E8-B40E-FB337D0DF2FD}" xr6:coauthVersionLast="47" xr6:coauthVersionMax="47" xr10:uidLastSave="{00000000-0000-0000-0000-000000000000}"/>
  <bookViews>
    <workbookView xWindow="-110" yWindow="-110" windowWidth="19420" windowHeight="10300" activeTab="2" xr2:uid="{E6F60189-260D-46F7-BF72-484C33E4AFB8}"/>
  </bookViews>
  <sheets>
    <sheet name="Sheet1" sheetId="1" r:id="rId1"/>
    <sheet name="Sheet4" sheetId="4" r:id="rId2"/>
    <sheet name="Sheet3" sheetId="6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B8" i="6"/>
  <c r="B4" i="6"/>
  <c r="B5" i="6"/>
  <c r="B6" i="6"/>
  <c r="B7" i="6"/>
  <c r="B3" i="6"/>
  <c r="E8" i="5"/>
  <c r="E7" i="5"/>
  <c r="E4" i="5"/>
  <c r="E5" i="5"/>
  <c r="E6" i="5"/>
  <c r="E3" i="5"/>
  <c r="G3" i="4"/>
  <c r="O4" i="4"/>
  <c r="O5" i="4"/>
  <c r="O6" i="4"/>
  <c r="O7" i="4"/>
  <c r="O8" i="4"/>
  <c r="O3" i="4"/>
  <c r="N6" i="4"/>
  <c r="N7" i="4"/>
  <c r="N8" i="4"/>
  <c r="N5" i="4"/>
  <c r="N3" i="4"/>
  <c r="N4" i="4"/>
  <c r="M3" i="4"/>
  <c r="M7" i="4"/>
  <c r="M4" i="4"/>
  <c r="M5" i="4"/>
  <c r="M6" i="4"/>
  <c r="M8" i="4"/>
  <c r="K7" i="4"/>
  <c r="K8" i="4"/>
  <c r="K6" i="4"/>
  <c r="K5" i="4"/>
  <c r="K4" i="4"/>
  <c r="I8" i="4"/>
  <c r="I7" i="4"/>
  <c r="I6" i="4"/>
  <c r="I5" i="4"/>
  <c r="I4" i="4"/>
  <c r="I3" i="4"/>
  <c r="G8" i="4"/>
  <c r="G7" i="4"/>
  <c r="G6" i="4"/>
  <c r="G5" i="4"/>
  <c r="G4" i="4"/>
  <c r="F8" i="4"/>
  <c r="F7" i="4"/>
  <c r="F6" i="4"/>
  <c r="F5" i="4"/>
  <c r="F4" i="4"/>
  <c r="F3" i="4"/>
  <c r="E8" i="4"/>
  <c r="E7" i="4"/>
  <c r="E6" i="4"/>
  <c r="E5" i="4"/>
  <c r="E4" i="4"/>
  <c r="E3" i="4"/>
</calcChain>
</file>

<file path=xl/sharedStrings.xml><?xml version="1.0" encoding="utf-8"?>
<sst xmlns="http://schemas.openxmlformats.org/spreadsheetml/2006/main" count="55" uniqueCount="30">
  <si>
    <t>Products</t>
  </si>
  <si>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</si>
  <si>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</si>
  <si>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</si>
  <si>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</si>
  <si>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</si>
  <si>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</si>
  <si>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</si>
  <si>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</si>
  <si>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</si>
  <si>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Orders</t>
  </si>
  <si>
    <t>Order ID</t>
  </si>
  <si>
    <t>Product ID</t>
  </si>
  <si>
    <t>Quantity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</si>
  <si>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</si>
  <si>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</t>
  </si>
  <si>
    <t>3. Use VLOOKUP to check if there are any ProductIDs in the Orders worksheet that do not exist in the Products worksheet</t>
  </si>
  <si>
    <t>4. Use VLOOKUP to find the price for each ProductID and then calculate the order value. Find the maximum order value from the list</t>
  </si>
  <si>
    <t>5. Use VLOOKUP to find the Product name and summarize the total quantity sold for each product</t>
  </si>
  <si>
    <t>TOTAL PRICE</t>
  </si>
  <si>
    <t>OR</t>
  </si>
  <si>
    <r>
      <t xml:space="preserve">      </t>
    </r>
    <r>
      <rPr>
        <sz val="11"/>
        <color rgb="FFFF0000"/>
        <rFont val="Calibri"/>
        <family val="2"/>
        <scheme val="minor"/>
      </rPr>
      <t>PRICE</t>
    </r>
  </si>
  <si>
    <t xml:space="preserve">ProductID Exist </t>
  </si>
  <si>
    <t>PRODUCT ID</t>
  </si>
  <si>
    <t>Max value</t>
  </si>
  <si>
    <t>Total Quantity</t>
  </si>
  <si>
    <t>Product Name</t>
  </si>
  <si>
    <t>6. Use VLOOKUP to find out which products from the Products worksheet have not been ordered</t>
  </si>
  <si>
    <t>Not Ordered</t>
  </si>
  <si>
    <t>(extra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</si>
</sst>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2" fillId="2" borderId="5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A0A1-45AD-45E5-921D-592F2028B637}">
  <dimension ref="B2:D9"/>
  <sheetViews>
    <sheetView workbookViewId="0">
      <selection activeCell="I7" sqref="I7"/>
    </sheetView>
  </sheetViews>
  <sheetFormatPr defaultRowHeight="14.5" x14ac:dyDescent="0.35"/>
  <sheetData>
    <row r="2" spans="2:4" x14ac:dyDescent="0.35">
      <c r="B2" s="5" t="s">
        <v>0</v>
      </c>
      <c r="C2" s="6"/>
      <c r="D2" s="7"/>
    </row>
    <row r="3" spans="2:4" x14ac:dyDescent="0.35">
      <c r="B3" s="1" t="s">
        <v>1</v>
      </c>
      <c r="C3" s="1" t="s">
        <v>2</v>
      </c>
      <c r="D3" s="1" t="s">
        <v>3</v>
      </c>
    </row>
    <row r="4" spans="2:4" x14ac:dyDescent="0.35">
      <c r="B4" s="1">
        <v>101</v>
      </c>
      <c r="C4" s="1" t="s">
        <v>4</v>
      </c>
      <c r="D4" s="1">
        <v>120</v>
      </c>
    </row>
    <row r="5" spans="2:4" x14ac:dyDescent="0.35">
      <c r="B5" s="1">
        <v>102</v>
      </c>
      <c r="C5" s="1" t="s">
        <v>5</v>
      </c>
      <c r="D5" s="1">
        <v>150</v>
      </c>
    </row>
    <row r="6" spans="2:4" x14ac:dyDescent="0.35">
      <c r="B6" s="1">
        <v>103</v>
      </c>
      <c r="C6" s="1" t="s">
        <v>6</v>
      </c>
      <c r="D6" s="1">
        <v>200</v>
      </c>
    </row>
    <row r="7" spans="2:4" x14ac:dyDescent="0.35">
      <c r="B7" s="1">
        <v>104</v>
      </c>
      <c r="C7" s="1" t="s">
        <v>7</v>
      </c>
      <c r="D7" s="1">
        <v>90</v>
      </c>
    </row>
    <row r="8" spans="2:4" x14ac:dyDescent="0.35">
      <c r="B8" s="1">
        <v>105</v>
      </c>
      <c r="C8" s="1" t="s">
        <v>8</v>
      </c>
      <c r="D8" s="1">
        <v>220</v>
      </c>
    </row>
    <row r="9" spans="2:4" x14ac:dyDescent="0.35">
      <c r="B9" s="1">
        <v>106</v>
      </c>
      <c r="C9" s="1" t="s">
        <v>9</v>
      </c>
      <c r="D9" s="1">
        <v>130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DEF1-B8DE-4532-B783-A8000CD28471}">
  <dimension ref="A1:O17"/>
  <sheetViews>
    <sheetView workbookViewId="0">
      <selection activeCell="C3" sqref="C3"/>
    </sheetView>
  </sheetViews>
  <sheetFormatPr defaultRowHeight="14.5" x14ac:dyDescent="0.35"/>
  <cols>
    <col min="5" max="5" width="11.1796875" bestFit="1" customWidth="1"/>
    <col min="6" max="6" width="10.90625" customWidth="1"/>
    <col min="7" max="7" width="11.36328125" bestFit="1" customWidth="1"/>
    <col min="11" max="11" width="13.08984375" customWidth="1"/>
    <col min="17" max="17" width="12.26953125" customWidth="1"/>
    <col min="18" max="18" width="12.08984375" customWidth="1"/>
  </cols>
  <sheetData>
    <row r="1" spans="1:15" x14ac:dyDescent="0.35">
      <c r="A1" s="5" t="s">
        <v>10</v>
      </c>
      <c r="B1" s="6"/>
      <c r="C1" s="7"/>
      <c r="E1">
        <v>1</v>
      </c>
      <c r="F1">
        <v>2</v>
      </c>
      <c r="K1">
        <v>3</v>
      </c>
      <c r="M1">
        <v>4</v>
      </c>
    </row>
    <row r="2" spans="1:15" x14ac:dyDescent="0.35">
      <c r="A2" s="1" t="s">
        <v>11</v>
      </c>
      <c r="B2" s="1" t="s">
        <v>12</v>
      </c>
      <c r="C2" s="1" t="s">
        <v>13</v>
      </c>
      <c r="D2" s="2"/>
      <c r="E2" s="2" t="s">
        <v>23</v>
      </c>
      <c r="F2" s="3" t="s">
        <v>21</v>
      </c>
      <c r="G2" s="4" t="s">
        <v>19</v>
      </c>
      <c r="K2" t="s">
        <v>22</v>
      </c>
      <c r="M2" t="s">
        <v>3</v>
      </c>
      <c r="N2" t="s">
        <v>13</v>
      </c>
      <c r="O2" t="s">
        <v>24</v>
      </c>
    </row>
    <row r="3" spans="1:15" x14ac:dyDescent="0.35">
      <c r="A3" s="1">
        <v>1</v>
      </c>
      <c r="B3" s="1">
        <v>101</v>
      </c>
      <c r="C3" s="1">
        <v>2</v>
      </c>
      <c r="D3" s="2"/>
      <c r="E3" t="str">
        <f>VLOOKUP(B3,Sheet1!B3:C9,2,FALSE)</f>
        <v>Product A</v>
      </c>
      <c r="F3">
        <f>VLOOKUP(B3,Sheet1!B2:D9,3,FALSE)</f>
        <v>120</v>
      </c>
      <c r="G3">
        <f>C3*VLOOKUP(B3,Sheet1!B2:D9,3,FALSE)</f>
        <v>240</v>
      </c>
      <c r="H3" t="s">
        <v>20</v>
      </c>
      <c r="I3">
        <f>F3*C3</f>
        <v>240</v>
      </c>
      <c r="K3" t="b">
        <f>Sheet3!G3=IF(ISNA(VLOOKUP(B3,Sheet1!B2:D9,1,FALSE)),"DE","Exist")</f>
        <v>0</v>
      </c>
      <c r="M3">
        <f>VLOOKUP(B3,Sheet1!B2:D9,3,FALSE)</f>
        <v>120</v>
      </c>
      <c r="N3">
        <f>VLOOKUP(A3,Sheet4!A1:C8,3,FALSE)</f>
        <v>2</v>
      </c>
      <c r="O3">
        <f>MAX(N3:N8)</f>
        <v>6</v>
      </c>
    </row>
    <row r="4" spans="1:15" x14ac:dyDescent="0.35">
      <c r="A4" s="1">
        <v>2</v>
      </c>
      <c r="B4" s="1">
        <v>103</v>
      </c>
      <c r="C4" s="1">
        <v>1</v>
      </c>
      <c r="E4" t="str">
        <f>VLOOKUP(B4,Sheet1!B3:C9,2,FALSE)</f>
        <v>Product C</v>
      </c>
      <c r="F4">
        <f>VLOOKUP(B4,Sheet1!B2:D9,3,FALSE)</f>
        <v>200</v>
      </c>
      <c r="G4">
        <f>C4*VLOOKUP(B4,Sheet1!B2:D9,3,FALSE)</f>
        <v>200</v>
      </c>
      <c r="H4" t="s">
        <v>20</v>
      </c>
      <c r="I4">
        <f>F4*C4</f>
        <v>200</v>
      </c>
      <c r="K4" t="str">
        <f>IF(ISNA(VLOOKUP(B4,Sheet1!B2:D9,1,FALSE)),"DE","Exist")</f>
        <v>Exist</v>
      </c>
      <c r="M4">
        <f>VLOOKUP(B4,Sheet1!B3:D10,1,FALSE)</f>
        <v>103</v>
      </c>
      <c r="N4">
        <f>VLOOKUP(A4,Sheet4!A2:C9,3,FALSE)</f>
        <v>1</v>
      </c>
      <c r="O4">
        <f t="shared" ref="O4:O8" si="0">MAX(N4:N9)</f>
        <v>6</v>
      </c>
    </row>
    <row r="5" spans="1:15" x14ac:dyDescent="0.35">
      <c r="A5" s="1">
        <v>3</v>
      </c>
      <c r="B5" s="1">
        <v>105</v>
      </c>
      <c r="C5" s="1">
        <v>4</v>
      </c>
      <c r="E5" t="str">
        <f>VLOOKUP(B5,Sheet1!B3:C9,2,FALSE)</f>
        <v>Product E</v>
      </c>
      <c r="F5">
        <f>VLOOKUP(B5,Sheet1!B2:D9,3,FALSE)</f>
        <v>220</v>
      </c>
      <c r="G5">
        <f>C5*VLOOKUP(B5,Sheet1!B2:D9,3,FALSE)</f>
        <v>880</v>
      </c>
      <c r="H5" t="s">
        <v>20</v>
      </c>
      <c r="I5">
        <f>C5*F5</f>
        <v>880</v>
      </c>
      <c r="K5" t="str">
        <f>IF(ISNA(VLOOKUP(B5,Sheet1!B3:B9,1,FALSE)),"NE","Exist")</f>
        <v>Exist</v>
      </c>
      <c r="M5">
        <f>VLOOKUP(B5,Sheet1!B4:D11,1,FALSE)</f>
        <v>105</v>
      </c>
      <c r="N5">
        <f>VLOOKUP(A5,A1:C8,3,FALSE)</f>
        <v>4</v>
      </c>
      <c r="O5">
        <f t="shared" si="0"/>
        <v>6</v>
      </c>
    </row>
    <row r="6" spans="1:15" x14ac:dyDescent="0.35">
      <c r="A6" s="1">
        <v>4</v>
      </c>
      <c r="B6" s="1">
        <v>106</v>
      </c>
      <c r="C6" s="1">
        <v>3</v>
      </c>
      <c r="E6" t="str">
        <f>VLOOKUP(B6,Sheet1!B3:C9,2,FALSE)</f>
        <v>Product F</v>
      </c>
      <c r="F6">
        <f>VLOOKUP(B6,Sheet1!B2:D9,3,FALSE)</f>
        <v>130</v>
      </c>
      <c r="G6">
        <f>C6*VLOOKUP(B6,Sheet1!B2:D9,3,FALSE)</f>
        <v>390</v>
      </c>
      <c r="H6" t="s">
        <v>20</v>
      </c>
      <c r="I6">
        <f>C6*F6</f>
        <v>390</v>
      </c>
      <c r="K6" t="str">
        <f>IF(ISNA(VLOOKUP(B6,Sheet1!B3:B9,1,FALSE)),"NE","Exist")</f>
        <v>Exist</v>
      </c>
      <c r="M6">
        <f>VLOOKUP(B6,Sheet1!B5:D12,1,FALSE)</f>
        <v>106</v>
      </c>
      <c r="N6">
        <f t="shared" ref="N6:N8" si="1">VLOOKUP(A6,A2:C9,3,FALSE)</f>
        <v>3</v>
      </c>
      <c r="O6">
        <f t="shared" si="0"/>
        <v>6</v>
      </c>
    </row>
    <row r="7" spans="1:15" x14ac:dyDescent="0.35">
      <c r="A7" s="1">
        <v>5</v>
      </c>
      <c r="B7" s="1">
        <v>102</v>
      </c>
      <c r="C7" s="1">
        <v>5</v>
      </c>
      <c r="E7" t="str">
        <f>VLOOKUP(B7,Sheet1!B3:C9,2,FALSE)</f>
        <v>Product B</v>
      </c>
      <c r="F7">
        <f>VLOOKUP(B7,Sheet1!B2:D9,3,FALSE)</f>
        <v>150</v>
      </c>
      <c r="G7">
        <f>C7*VLOOKUP(B7,Sheet1!B2:D9,3,FALSE)</f>
        <v>750</v>
      </c>
      <c r="H7" t="s">
        <v>20</v>
      </c>
      <c r="I7">
        <f>F7*C7</f>
        <v>750</v>
      </c>
      <c r="K7" t="str">
        <f>IF(ISNA(VLOOKUP(B7,Sheet1!B4:B10,1,FALSE)),"NE","Exist")</f>
        <v>Exist</v>
      </c>
      <c r="M7">
        <f>VLOOKUP(B7,Sheet1!B2:D9,1,FALSE)</f>
        <v>102</v>
      </c>
      <c r="N7">
        <f t="shared" si="1"/>
        <v>5</v>
      </c>
      <c r="O7">
        <f t="shared" si="0"/>
        <v>6</v>
      </c>
    </row>
    <row r="8" spans="1:15" x14ac:dyDescent="0.35">
      <c r="A8" s="1">
        <v>6</v>
      </c>
      <c r="B8" s="1">
        <v>104</v>
      </c>
      <c r="C8" s="1">
        <v>6</v>
      </c>
      <c r="E8" t="str">
        <f>VLOOKUP(B8,Sheet1!B3:C9,2,FALSE)</f>
        <v>Product D</v>
      </c>
      <c r="F8">
        <f>VLOOKUP(B8,Sheet1!B2:D9,3,FALSE)</f>
        <v>90</v>
      </c>
      <c r="G8">
        <f>C8*VLOOKUP(B8,Sheet1!B2:D9,3,FALSE)</f>
        <v>540</v>
      </c>
      <c r="H8" t="s">
        <v>20</v>
      </c>
      <c r="I8">
        <f>F8*C8</f>
        <v>540</v>
      </c>
      <c r="K8" t="str">
        <f>IF(ISNA(VLOOKUP(B8,Sheet1!B5:B11,1,FALSE)),"NE","Exist")</f>
        <v>Exist</v>
      </c>
      <c r="M8">
        <f>VLOOKUP(B8,Sheet1!B7:D14,1,FALSE)</f>
        <v>104</v>
      </c>
      <c r="N8">
        <f t="shared" si="1"/>
        <v>6</v>
      </c>
      <c r="O8">
        <f t="shared" si="0"/>
        <v>6</v>
      </c>
    </row>
    <row r="10" spans="1:15" x14ac:dyDescent="0.35">
      <c r="B10" t="s">
        <v>14</v>
      </c>
    </row>
    <row r="12" spans="1:15" x14ac:dyDescent="0.35">
      <c r="B12" t="s">
        <v>15</v>
      </c>
    </row>
    <row r="13" spans="1:15" x14ac:dyDescent="0.35">
      <c r="B13" t="s">
        <v>16</v>
      </c>
    </row>
    <row r="14" spans="1:15" x14ac:dyDescent="0.35">
      <c r="B14" t="s">
        <v>17</v>
      </c>
    </row>
    <row r="17" spans="2:2" x14ac:dyDescent="0.35">
      <c r="B17" t="s">
        <v>18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E4BC-AF22-4AE9-B624-7EBD9A60791C}">
  <dimension ref="A1:J8"/>
  <sheetViews>
    <sheetView tabSelected="1" workbookViewId="0">
      <selection activeCell="J1" sqref="J1"/>
    </sheetView>
  </sheetViews>
  <sheetFormatPr defaultRowHeight="14.5" x14ac:dyDescent="0.35"/>
  <cols>
    <col min="3" max="3" width="11.26953125" bestFit="1" customWidth="1"/>
  </cols>
  <sheetData>
    <row r="1" spans="1:10" x14ac:dyDescent="0.35">
      <c r="A1" t="s">
        <v>27</v>
      </c>
      <c r="J1" t="s">
        <v>29</v>
      </c>
    </row>
    <row r="2" spans="1:10" x14ac:dyDescent="0.35">
      <c r="B2" t="s">
        <v>0</v>
      </c>
      <c r="C2" t="s">
        <v>28</v>
      </c>
    </row>
    <row r="3" spans="1:10" x14ac:dyDescent="0.35">
      <c r="B3" t="str">
        <f>VLOOKUP(Sheet1!B4,Sheet1!B2:D9,2,FALSE)</f>
        <v>Product A</v>
      </c>
    </row>
    <row r="4" spans="1:10" x14ac:dyDescent="0.35">
      <c r="B4" t="str">
        <f>VLOOKUP(Sheet1!B5,Sheet1!B3:D10,2,FALSE)</f>
        <v>Product B</v>
      </c>
    </row>
    <row r="5" spans="1:10" x14ac:dyDescent="0.35">
      <c r="B5" t="str">
        <f>VLOOKUP(Sheet1!B6,Sheet1!B4:D11,2,FALSE)</f>
        <v>Product C</v>
      </c>
    </row>
    <row r="6" spans="1:10" x14ac:dyDescent="0.35">
      <c r="B6" t="str">
        <f>VLOOKUP(Sheet1!B7,Sheet1!B5:D12,2,FALSE)</f>
        <v>Product D</v>
      </c>
    </row>
    <row r="7" spans="1:10" x14ac:dyDescent="0.35">
      <c r="B7" t="str">
        <f>VLOOKUP(Sheet1!B8,Sheet1!B6:D13,2,FALSE)</f>
        <v>Product E</v>
      </c>
    </row>
    <row r="8" spans="1:10" x14ac:dyDescent="0.35">
      <c r="B8" t="str">
        <f>VLOOKUP(Sheet1!B9,Sheet1!B7:D14,2,FALSE)</f>
        <v>Product 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2D68-77B8-432B-948B-AAF9955170A2}">
  <dimension ref="A1:E12"/>
  <sheetViews>
    <sheetView workbookViewId="0">
      <selection activeCell="H6" sqref="H6"/>
    </sheetView>
  </sheetViews>
  <sheetFormatPr defaultRowHeight="14.5" x14ac:dyDescent="0.35"/>
  <cols>
    <col min="4" max="4" width="15.90625" customWidth="1"/>
    <col min="5" max="5" width="15.81640625" customWidth="1"/>
  </cols>
  <sheetData>
    <row r="1" spans="1:5" x14ac:dyDescent="0.35">
      <c r="A1" s="5" t="s">
        <v>0</v>
      </c>
      <c r="B1" s="6"/>
      <c r="C1" s="7"/>
      <c r="D1">
        <v>5</v>
      </c>
    </row>
    <row r="2" spans="1:5" x14ac:dyDescent="0.35">
      <c r="A2" s="1" t="s">
        <v>1</v>
      </c>
      <c r="B2" s="1" t="s">
        <v>2</v>
      </c>
      <c r="C2" s="1" t="s">
        <v>3</v>
      </c>
      <c r="D2" t="s">
        <v>26</v>
      </c>
      <c r="E2" t="s">
        <v>25</v>
      </c>
    </row>
    <row r="3" spans="1:5" x14ac:dyDescent="0.35">
      <c r="A3" s="1">
        <v>101</v>
      </c>
      <c r="B3" s="1" t="s">
        <v>4</v>
      </c>
      <c r="C3" s="1">
        <v>120</v>
      </c>
      <c r="D3" t="s">
        <v>4</v>
      </c>
      <c r="E3">
        <f>VLOOKUP(A3,Sheet4!B2:C8,2,FALSE)</f>
        <v>2</v>
      </c>
    </row>
    <row r="4" spans="1:5" x14ac:dyDescent="0.35">
      <c r="A4" s="1">
        <v>102</v>
      </c>
      <c r="B4" s="1" t="s">
        <v>5</v>
      </c>
      <c r="C4" s="1">
        <v>150</v>
      </c>
      <c r="D4" t="s">
        <v>6</v>
      </c>
      <c r="E4">
        <f>VLOOKUP(A4,Sheet4!B3:C9,2,FALSE)</f>
        <v>5</v>
      </c>
    </row>
    <row r="5" spans="1:5" x14ac:dyDescent="0.35">
      <c r="A5" s="1">
        <v>103</v>
      </c>
      <c r="B5" s="1" t="s">
        <v>6</v>
      </c>
      <c r="C5" s="1">
        <v>200</v>
      </c>
      <c r="D5" t="s">
        <v>8</v>
      </c>
      <c r="E5">
        <f>VLOOKUP(A5,Sheet4!B4:C10,2,FALSE)</f>
        <v>1</v>
      </c>
    </row>
    <row r="6" spans="1:5" x14ac:dyDescent="0.35">
      <c r="A6" s="1">
        <v>104</v>
      </c>
      <c r="B6" s="1" t="s">
        <v>7</v>
      </c>
      <c r="C6" s="1">
        <v>90</v>
      </c>
      <c r="D6" t="s">
        <v>9</v>
      </c>
      <c r="E6">
        <f>VLOOKUP(A6,Sheet4!B5:C11,2,FALSE)</f>
        <v>6</v>
      </c>
    </row>
    <row r="7" spans="1:5" x14ac:dyDescent="0.35">
      <c r="A7" s="1">
        <v>105</v>
      </c>
      <c r="B7" s="1" t="s">
        <v>8</v>
      </c>
      <c r="C7" s="1">
        <v>220</v>
      </c>
      <c r="D7" t="s">
        <v>5</v>
      </c>
      <c r="E7">
        <f>VLOOKUP(A7,Sheet4!B2:C8,2,FALSE)</f>
        <v>4</v>
      </c>
    </row>
    <row r="8" spans="1:5" x14ac:dyDescent="0.35">
      <c r="A8" s="1">
        <v>106</v>
      </c>
      <c r="B8" s="1" t="s">
        <v>9</v>
      </c>
      <c r="C8" s="1">
        <v>130</v>
      </c>
      <c r="D8" t="s">
        <v>7</v>
      </c>
      <c r="E8">
        <f>VLOOKUP(A8,Sheet4!B2:C8,2,FALSE)</f>
        <v>3</v>
      </c>
    </row>
    <row r="12" spans="1:5" x14ac:dyDescent="0.35">
      <c r="C12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kalalramya goud</cp:lastModifiedBy>
  <dcterms:created xsi:type="dcterms:W3CDTF">2025-10-09T12:39:07Z</dcterms:created>
  <dcterms:modified xsi:type="dcterms:W3CDTF">2025-12-02T10:44:27Z</dcterms:modified>
</cp:coreProperties>
</file>